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p\Dropbox\Toni_aktuell\Science\2022_08_03_energy_firm_investment\empirical_investment_dynamics_git\data_CIQ_scripts\"/>
    </mc:Choice>
  </mc:AlternateContent>
  <xr:revisionPtr revIDLastSave="0" documentId="13_ncr:1_{2239B613-650B-4507-9BD6-11A970B92B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externalReferences>
    <externalReference r:id="rId2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3" i="1" l="1"/>
  <c r="H23" i="1"/>
  <c r="V23" i="1"/>
  <c r="F23" i="1"/>
  <c r="U23" i="1"/>
  <c r="D23" i="1"/>
  <c r="C23" i="1"/>
  <c r="Q23" i="1"/>
  <c r="P23" i="1"/>
  <c r="N23" i="1"/>
  <c r="L23" i="1"/>
  <c r="J23" i="1"/>
  <c r="W23" i="1"/>
  <c r="G23" i="1"/>
  <c r="B23" i="1"/>
  <c r="A22" i="1"/>
  <c r="I23" i="1"/>
  <c r="E23" i="1"/>
  <c r="A23" i="1"/>
  <c r="T23" i="1"/>
  <c r="K23" i="1"/>
  <c r="S23" i="1"/>
  <c r="R23" i="1"/>
  <c r="O23" i="1"/>
  <c r="M23" i="1"/>
  <c r="AD17" i="1"/>
  <c r="Z17" i="1"/>
  <c r="A15" i="1"/>
  <c r="AC17" i="1"/>
  <c r="AB17" i="1"/>
  <c r="AA17" i="1"/>
  <c r="S10" i="1"/>
  <c r="C10" i="1"/>
  <c r="B10" i="1"/>
  <c r="Q10" i="1"/>
  <c r="A10" i="1"/>
  <c r="P10" i="1"/>
  <c r="O10" i="1"/>
  <c r="L10" i="1"/>
  <c r="J10" i="1"/>
  <c r="H10" i="1"/>
  <c r="F10" i="1"/>
  <c r="D10" i="1"/>
  <c r="R10" i="1"/>
  <c r="A9" i="1"/>
  <c r="N10" i="1"/>
  <c r="M10" i="1"/>
  <c r="K10" i="1"/>
  <c r="I10" i="1"/>
  <c r="G10" i="1"/>
  <c r="E10" i="1"/>
  <c r="L4" i="1"/>
  <c r="K4" i="1"/>
  <c r="C4" i="1"/>
  <c r="B4" i="1"/>
  <c r="A3" i="1"/>
  <c r="J4" i="1"/>
  <c r="I4" i="1"/>
  <c r="H4" i="1"/>
  <c r="A4" i="1"/>
  <c r="G4" i="1"/>
  <c r="F4" i="1"/>
  <c r="E4" i="1"/>
  <c r="D4" i="1"/>
</calcChain>
</file>

<file path=xl/sharedStrings.xml><?xml version="1.0" encoding="utf-8"?>
<sst xmlns="http://schemas.openxmlformats.org/spreadsheetml/2006/main" count="63" uniqueCount="63">
  <si>
    <t xml:space="preserve">Technology Type </t>
  </si>
  <si>
    <t xml:space="preserve">Fuel Type </t>
  </si>
  <si>
    <t xml:space="preserve">Year First Unit in Service </t>
  </si>
  <si>
    <t xml:space="preserve">Year Latest Capacity Added </t>
  </si>
  <si>
    <t>Entity ID</t>
  </si>
  <si>
    <t>Entity Name</t>
  </si>
  <si>
    <t>Company Name, Short</t>
  </si>
  <si>
    <t>MI KEY</t>
  </si>
  <si>
    <t>ISIN</t>
  </si>
  <si>
    <t>Legal Entity Identifier</t>
  </si>
  <si>
    <t>Company Type</t>
  </si>
  <si>
    <t>Year Established</t>
  </si>
  <si>
    <t>Year Incorporated</t>
  </si>
  <si>
    <t>Company Status</t>
  </si>
  <si>
    <t>SIC Code</t>
  </si>
  <si>
    <t>Industry Classification</t>
  </si>
  <si>
    <t>Primary Industry</t>
  </si>
  <si>
    <t>1st Level Primary Industry</t>
  </si>
  <si>
    <t>2nd Level Primary Industry</t>
  </si>
  <si>
    <t>3rd Level Primary Industry</t>
  </si>
  <si>
    <t>4th Level Primary Industry</t>
  </si>
  <si>
    <t>Geography</t>
  </si>
  <si>
    <t>Country / Region Name</t>
  </si>
  <si>
    <t>Country/Region Code</t>
  </si>
  <si>
    <t>Global Subregion</t>
  </si>
  <si>
    <t>Global Region</t>
  </si>
  <si>
    <t>Percent Owned - Strategic - State Owner
(%)</t>
  </si>
  <si>
    <t>Percent Owned - Strategic - Corporations (Private)
(%)</t>
  </si>
  <si>
    <t>Percent Owned - Strategic - Corporations (Public)
(%)</t>
  </si>
  <si>
    <t>SP_ENTITY_ID</t>
  </si>
  <si>
    <t>SP_ENTITY_NAME</t>
  </si>
  <si>
    <t>SP_COMPANY_NAME_SHORT</t>
  </si>
  <si>
    <t>SP_COMPANY_ID</t>
  </si>
  <si>
    <t>SP_ISIN</t>
  </si>
  <si>
    <t>SP_LEI</t>
  </si>
  <si>
    <t>SP_COMPANY_TYPE</t>
  </si>
  <si>
    <t>SP_YEAR_ESTABLISHED</t>
  </si>
  <si>
    <t>SP_YEAR_INCORPORATED</t>
  </si>
  <si>
    <t>SP_COMPANY_STATUS</t>
  </si>
  <si>
    <t>SP_SIC_CODE</t>
  </si>
  <si>
    <t>MI_INDUSTRY_CLASSIFICATION</t>
  </si>
  <si>
    <t>MI_PRIMARY_INDUSTRY</t>
  </si>
  <si>
    <t>MI_LEVEL_1_PRIMARY</t>
  </si>
  <si>
    <t>MI_LEVEL_2_PRIMARY</t>
  </si>
  <si>
    <t>MI_LEVEL_3_PRIMARY</t>
  </si>
  <si>
    <t>MI_LEVEL_4_PRIMARY</t>
  </si>
  <si>
    <t>SP_GEOGRAPHY</t>
  </si>
  <si>
    <t>SP_COUNTRY_NAME</t>
  </si>
  <si>
    <t>SP_COUNTRY_CODE</t>
  </si>
  <si>
    <t>SP_GLOBAL_SUBREGION</t>
  </si>
  <si>
    <t>SP_GLOBAL_REGION</t>
  </si>
  <si>
    <t>PCT_OWNED_STRATEGIC_STATE_OWNER</t>
  </si>
  <si>
    <t>PCT_OWNED_STRATEGIC_CORPORATIONS_PRIVATE</t>
  </si>
  <si>
    <t>PCT_OWNED_STRATEGIC_CORPORATIONS_PUBLIC</t>
  </si>
  <si>
    <t>SP_PARENT_COMPANY_NAME</t>
  </si>
  <si>
    <t>SP_PARENT_COMPANY_ID</t>
  </si>
  <si>
    <t>SP_PARENT_PCT_OWNED</t>
  </si>
  <si>
    <t>SP_ULT_PARENT_COMPANY_NAME</t>
  </si>
  <si>
    <t>SP_ULT_PARENT_COMPANY_ID</t>
  </si>
  <si>
    <t>owners_information.xslx</t>
  </si>
  <si>
    <t>all_plants_by_owner.xlsx</t>
  </si>
  <si>
    <t>all_units_by_owner.xlsx</t>
  </si>
  <si>
    <t>tech_detail_unit_level-by_unit.xlsx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</si>
</sst>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SNL%20Financial\SNLxl\SNLXLAddin.xla" TargetMode="External"/><Relationship Id="rId1" Type="http://schemas.openxmlformats.org/officeDocument/2006/relationships/externalLinkPath" Target="/Program%20Files/SNL%20Financial/SNLxl/SNLXLAddin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NLLabel"/>
      <definedName name="SNLTabl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4"/>
  <sheetViews>
    <sheetView tabSelected="1" workbookViewId="0">
      <selection activeCell="E17" sqref="E17"/>
    </sheetView>
  </sheetViews>
  <sheetFormatPr defaultRowHeight="15" x14ac:dyDescent="0.25"/>
  <sheetData>
    <row r="1" spans="1:19" x14ac:dyDescent="0.25">
      <c r="A1" s="4" t="s">
        <v>60</v>
      </c>
    </row>
    <row r="3" spans="1:19" x14ac:dyDescent="0.25">
      <c r="A3" t="str">
        <f>[1]!SNLTable(12,$B$6:$B$71009,$C$3:$P$3,,,"Options:Curr=USD,Mag=Standard,ConvMethod=R")</f>
        <v>SNLTable</v>
      </c>
    </row>
    <row r="4" spans="1:19" x14ac:dyDescent="0.25">
      <c r="A4" s="1" t="str">
        <f>[1]!SNLLabel(12,221663,"","","Options:Curr=USD,Mag=Standard,ConvMethod=R")</f>
        <v>#PEND</v>
      </c>
      <c r="B4" s="1" t="str">
        <f>[1]!SNLLabel(12,231679,"","","Options:Curr=USD,Mag=Standard,ConvMethod=R")</f>
        <v>#PEND</v>
      </c>
      <c r="C4" s="1" t="str">
        <f>[1]!SNLLabel(12,222084,"","","Options:Curr=USD,Mag=Standard,ConvMethod=R")</f>
        <v>#PEND</v>
      </c>
      <c r="D4" s="1" t="str">
        <f>[1]!SNLLabel(12,229507,"","","Options:Curr=USD,Mag=Standard,ConvMethod=R")</f>
        <v>#PEND</v>
      </c>
      <c r="E4" s="1" t="str">
        <f>[1]!SNLLabel(12,221798,"","","Options:Curr=USD,Mag=Standard,ConvMethod=R")</f>
        <v>#PEND</v>
      </c>
      <c r="F4" s="1" t="str">
        <f>[1]!SNLLabel(12,221704,"","","Options:Curr=USD,Mag=Standard,ConvMethod=R")</f>
        <v>#PEND</v>
      </c>
      <c r="G4" s="1" t="str">
        <f>[1]!SNLLabel(12,221799,"","","Options:Curr=USD,Mag=Standard,ConvMethod=R")</f>
        <v>#PEND</v>
      </c>
      <c r="H4" s="1" t="str">
        <f>[1]!SNLLabel(12,221708,"","","Options:Curr=USD,Mag=Standard,ConvMethod=R")</f>
        <v>#PEND</v>
      </c>
      <c r="I4" s="1" t="str">
        <f>[1]!SNLLabel(12,225581,"","","Options:Curr=USD,Mag=Standard,ConvMethod=R")</f>
        <v>#PEND</v>
      </c>
      <c r="J4" s="1" t="str">
        <f>[1]!SNLLabel(12,221712,"","","Options:Curr=USD,Mag=Standard,ConvMethod=R")</f>
        <v>#PEND</v>
      </c>
      <c r="K4" s="1" t="str">
        <f>[1]!SNLLabel(12,221796,"","","Options:Curr=USD,Mag=Standard,ConvMethod=R")</f>
        <v>#PEND</v>
      </c>
      <c r="L4" s="1" t="str">
        <f>[1]!SNLLabel(12,221968,,,"Options:Curr=USD,Mag=Standard,ConvMethod=R")</f>
        <v>#PEND</v>
      </c>
      <c r="M4" t="s">
        <v>0</v>
      </c>
      <c r="N4" t="s">
        <v>1</v>
      </c>
      <c r="O4" t="s">
        <v>2</v>
      </c>
      <c r="P4" t="s">
        <v>3</v>
      </c>
    </row>
    <row r="5" spans="1:19" x14ac:dyDescent="0.25">
      <c r="A5" s="2">
        <v>221663</v>
      </c>
      <c r="B5" s="2">
        <v>231679</v>
      </c>
      <c r="C5" s="2">
        <v>222084</v>
      </c>
      <c r="D5" s="2">
        <v>229507</v>
      </c>
      <c r="E5" s="2">
        <v>221798</v>
      </c>
      <c r="F5" s="2">
        <v>221704</v>
      </c>
      <c r="G5" s="2">
        <v>221799</v>
      </c>
      <c r="H5" s="2">
        <v>221708</v>
      </c>
      <c r="I5" s="2">
        <v>225581</v>
      </c>
      <c r="J5" s="2">
        <v>221712</v>
      </c>
      <c r="K5" s="2">
        <v>221796</v>
      </c>
      <c r="L5" s="3">
        <v>221968</v>
      </c>
      <c r="M5">
        <v>241198</v>
      </c>
      <c r="N5">
        <v>221981</v>
      </c>
      <c r="O5">
        <v>221972</v>
      </c>
      <c r="P5">
        <v>221974</v>
      </c>
    </row>
    <row r="8" spans="1:19" x14ac:dyDescent="0.25">
      <c r="A8" s="4" t="s">
        <v>61</v>
      </c>
    </row>
    <row r="9" spans="1:19" x14ac:dyDescent="0.25">
      <c r="A9" t="str">
        <f>[1]!SNLTable(14,$B$6:$B$208699,$C$3:$S$3,,,"Options:Curr=USD,Mag=Standard,ConvMethod=R")</f>
        <v>SNLTable</v>
      </c>
    </row>
    <row r="10" spans="1:19" x14ac:dyDescent="0.25">
      <c r="A10" s="1" t="str">
        <f>[1]!SNLLabel(14,223394,"","","Options:Curr=USD,Mag=Standard,ConvMethod=R")</f>
        <v>#PEND</v>
      </c>
      <c r="B10" s="1" t="str">
        <f>[1]!SNLLabel(14,223366,"","","Options:Curr=USD,Mag=Standard,ConvMethod=R")</f>
        <v>#PEND</v>
      </c>
      <c r="C10" s="1" t="str">
        <f>[1]!SNLLabel(14,234258,"","","Options:Curr=USD,Mag=Standard,ConvMethod=R")</f>
        <v>#PEND</v>
      </c>
      <c r="D10" s="1" t="str">
        <f>[1]!SNLLabel(14,223393,"","","Options:Curr=USD,Mag=Standard,ConvMethod=R")</f>
        <v>#PEND</v>
      </c>
      <c r="E10" s="1" t="str">
        <f>[1]!SNLLabel(14,223323,"","","Options:Curr=USD,Mag=Standard,ConvMethod=R")</f>
        <v>#PEND</v>
      </c>
      <c r="F10" s="1" t="str">
        <f>[1]!SNLLabel(14,223324,"","","Options:Curr=USD,Mag=Standard,ConvMethod=R")</f>
        <v>#PEND</v>
      </c>
      <c r="G10" s="1" t="str">
        <f>[1]!SNLLabel(14,223337,"","","Options:Curr=USD,Mag=Standard,ConvMethod=R")</f>
        <v>#PEND</v>
      </c>
      <c r="H10" s="1" t="str">
        <f>[1]!SNLLabel(14,223336,"","","Options:Curr=USD,Mag=Standard,ConvMethod=R")</f>
        <v>#PEND</v>
      </c>
      <c r="I10" s="1" t="str">
        <f>[1]!SNLLabel(14,223339,"","","Options:Curr=USD,Mag=Standard,ConvMethod=R")</f>
        <v>#PEND</v>
      </c>
      <c r="J10" s="1" t="str">
        <f>[1]!SNLLabel(14,223338,"","","Options:Curr=USD,Mag=Standard,ConvMethod=R")</f>
        <v>#PEND</v>
      </c>
      <c r="K10" s="1" t="str">
        <f>[1]!SNLLabel(14,233878,"","","Options:Curr=USD,Mag=Standard,ConvMethod=R")</f>
        <v>#PEND</v>
      </c>
      <c r="L10" s="1" t="str">
        <f>[1]!SNLLabel(14,233872,"","","Options:Curr=USD,Mag=Standard,ConvMethod=R")</f>
        <v>#PEND</v>
      </c>
      <c r="M10" s="1" t="str">
        <f>[1]!SNLLabel(14,233911,"","","Options:Curr=USD,Mag=Standard,ConvMethod=R")</f>
        <v>#PEND</v>
      </c>
      <c r="N10" s="1" t="str">
        <f>[1]!SNLLabel(14,233873,"","","Options:Curr=USD,Mag=Standard,ConvMethod=R")</f>
        <v>#PEND</v>
      </c>
      <c r="O10" s="1" t="str">
        <f>[1]!SNLLabel(14,233874,"","","Options:Curr=USD,Mag=Standard,ConvMethod=R")</f>
        <v>#PEND</v>
      </c>
      <c r="P10" s="1" t="str">
        <f>[1]!SNLLabel(14,234123,"","","Options:Curr=USD,Mag=Standard,ConvMethod=R")</f>
        <v>#PEND</v>
      </c>
      <c r="Q10" s="1" t="str">
        <f>[1]!SNLLabel(14,233875,"","","Options:Curr=USD,Mag=Standard,ConvMethod=R")</f>
        <v>#PEND</v>
      </c>
      <c r="R10" s="1" t="str">
        <f>[1]!SNLLabel(14,233876,"","","Options:Curr=USD,Mag=Standard,ConvMethod=R")</f>
        <v>#PEND</v>
      </c>
      <c r="S10" s="1" t="str">
        <f>[1]!SNLLabel(14,228032,"","","Options:Curr=USD,Mag=Standard,ConvMethod=R")</f>
        <v>#PEND</v>
      </c>
    </row>
    <row r="11" spans="1:19" x14ac:dyDescent="0.25">
      <c r="A11" s="2">
        <v>223394</v>
      </c>
      <c r="B11" s="2">
        <v>223366</v>
      </c>
      <c r="C11" s="2">
        <v>234258</v>
      </c>
      <c r="D11" s="2">
        <v>223393</v>
      </c>
      <c r="E11" s="2">
        <v>223323</v>
      </c>
      <c r="F11" s="2">
        <v>223324</v>
      </c>
      <c r="G11" s="2">
        <v>223337</v>
      </c>
      <c r="H11" s="2">
        <v>223336</v>
      </c>
      <c r="I11" s="2">
        <v>223339</v>
      </c>
      <c r="J11" s="2">
        <v>223338</v>
      </c>
      <c r="K11" s="2">
        <v>233878</v>
      </c>
      <c r="L11" s="2">
        <v>233872</v>
      </c>
      <c r="M11" s="2">
        <v>233911</v>
      </c>
      <c r="N11" s="2">
        <v>233873</v>
      </c>
      <c r="O11" s="2">
        <v>233874</v>
      </c>
      <c r="P11" s="2">
        <v>234123</v>
      </c>
      <c r="Q11" s="2">
        <v>233875</v>
      </c>
      <c r="R11" s="2">
        <v>233876</v>
      </c>
      <c r="S11" s="2">
        <v>228032</v>
      </c>
    </row>
    <row r="14" spans="1:19" x14ac:dyDescent="0.25">
      <c r="A14" s="4" t="s">
        <v>59</v>
      </c>
    </row>
    <row r="15" spans="1:19" x14ac:dyDescent="0.25">
      <c r="A15" t="str">
        <f>_xll.SNL.Clients.Office.Excel.Functions.SPGTable(A19:A42421,B18:AD18,"Options:Curr=USD,Mag=Standard,ConvMethod=R,FilingVer=Current/Restated")</f>
        <v>SPGTable</v>
      </c>
    </row>
    <row r="17" spans="1:30" ht="105" x14ac:dyDescent="0.25">
      <c r="A17" t="s">
        <v>4</v>
      </c>
      <c r="B17" t="s">
        <v>5</v>
      </c>
      <c r="C17" t="s">
        <v>6</v>
      </c>
      <c r="D17" t="s">
        <v>7</v>
      </c>
      <c r="E17" t="s">
        <v>8</v>
      </c>
      <c r="F17" t="s">
        <v>9</v>
      </c>
      <c r="G17" t="s">
        <v>10</v>
      </c>
      <c r="H17" t="s">
        <v>11</v>
      </c>
      <c r="I17" t="s">
        <v>12</v>
      </c>
      <c r="J17" t="s">
        <v>13</v>
      </c>
      <c r="K17" t="s">
        <v>14</v>
      </c>
      <c r="L17" t="s">
        <v>15</v>
      </c>
      <c r="M17" t="s">
        <v>16</v>
      </c>
      <c r="N17" t="s">
        <v>17</v>
      </c>
      <c r="O17" t="s">
        <v>18</v>
      </c>
      <c r="P17" t="s">
        <v>19</v>
      </c>
      <c r="Q17" t="s">
        <v>20</v>
      </c>
      <c r="R17" t="s">
        <v>21</v>
      </c>
      <c r="S17" t="s">
        <v>22</v>
      </c>
      <c r="T17" t="s">
        <v>23</v>
      </c>
      <c r="U17" t="s">
        <v>24</v>
      </c>
      <c r="V17" t="s">
        <v>25</v>
      </c>
      <c r="W17" s="5" t="s">
        <v>26</v>
      </c>
      <c r="X17" s="5" t="s">
        <v>27</v>
      </c>
      <c r="Y17" s="5" t="s">
        <v>28</v>
      </c>
      <c r="Z17" s="1" t="str">
        <f>_xll.SNL.Clients.Office.Excel.Functions.SPGLabel(266637,"SP_PARENT_COMPANY_NAME","","","Options:Curr=USD,Mag=Standard,ConvMethod=R,FilingVer=Current/Restated")</f>
        <v>#PEND</v>
      </c>
      <c r="AA17" s="1" t="str">
        <f>_xll.SNL.Clients.Office.Excel.Functions.SPGLabel(266637,"SP_PARENT_COMPANY_ID","","","Options:Curr=USD,Mag=Standard,ConvMethod=R,FilingVer=Current/Restated")</f>
        <v>#PEND</v>
      </c>
      <c r="AB17" s="1" t="str">
        <f>_xll.SNL.Clients.Office.Excel.Functions.SPGLabel(266637,"SP_PARENT_PCT_OWNED","","","Options:Curr=USD,Mag=Standard,ConvMethod=R,FilingVer=Current/Restated")</f>
        <v>#PEND</v>
      </c>
      <c r="AC17" s="1" t="str">
        <f>_xll.SNL.Clients.Office.Excel.Functions.SPGLabel(266637,"SP_ULT_PARENT_COMPANY_NAME","","","Options:Curr=USD,Mag=Standard,ConvMethod=R,FilingVer=Current/Restated")</f>
        <v>#PEND</v>
      </c>
      <c r="AD17" s="1" t="str">
        <f>_xll.SNL.Clients.Office.Excel.Functions.SPGLabel(266637,"275937","","","Options:Curr=USD,Mag=Standard,ConvMethod=R,FilingVer=Current/Restated")</f>
        <v>#PEND</v>
      </c>
    </row>
    <row r="18" spans="1:30" ht="90" x14ac:dyDescent="0.25">
      <c r="A18" t="s">
        <v>29</v>
      </c>
      <c r="B18" t="s">
        <v>30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46</v>
      </c>
      <c r="S18" t="s">
        <v>47</v>
      </c>
      <c r="T18" t="s">
        <v>48</v>
      </c>
      <c r="U18" t="s">
        <v>49</v>
      </c>
      <c r="V18" t="s">
        <v>50</v>
      </c>
      <c r="W18" s="5" t="s">
        <v>51</v>
      </c>
      <c r="X18" s="5" t="s">
        <v>52</v>
      </c>
      <c r="Y18" s="5" t="s">
        <v>53</v>
      </c>
      <c r="Z18" s="2" t="s">
        <v>54</v>
      </c>
      <c r="AA18" s="2" t="s">
        <v>55</v>
      </c>
      <c r="AB18" s="2" t="s">
        <v>56</v>
      </c>
      <c r="AC18" s="2" t="s">
        <v>57</v>
      </c>
      <c r="AD18" s="2" t="s">
        <v>58</v>
      </c>
    </row>
    <row r="21" spans="1:30" x14ac:dyDescent="0.25">
      <c r="A21" s="4" t="s">
        <v>62</v>
      </c>
    </row>
    <row r="22" spans="1:30" x14ac:dyDescent="0.25">
      <c r="A22" t="str">
        <f>[1]!SNLTable(14,$B$6:$B$160482,$C$3:$X$3,,,"Options:Curr=USD,Mag=Standard,ConvMethod=R")</f>
        <v>SNLTable</v>
      </c>
    </row>
    <row r="23" spans="1:30" x14ac:dyDescent="0.25">
      <c r="A23" s="1" t="str">
        <f>[1]!SNLLabel(14,223394,"","","Options:Curr=USD,Mag=Standard,ConvMethod=R")</f>
        <v>#PEND</v>
      </c>
      <c r="B23" s="1" t="str">
        <f>[1]!SNLLabel(14,223366,"","","Options:Curr=USD,Mag=Standard,ConvMethod=R")</f>
        <v>#PEND</v>
      </c>
      <c r="C23" s="1" t="str">
        <f>[1]!SNLLabel(14,241199,"","","Options:Curr=USD,Mag=Standard,ConvMethod=R")</f>
        <v>#PEND</v>
      </c>
      <c r="D23" s="1" t="str">
        <f>[1]!SNLLabel(14,241521,"","","Options:Curr=USD,Mag=Standard,ConvMethod=R")</f>
        <v>#PEND</v>
      </c>
      <c r="E23" s="1" t="str">
        <f>[1]!SNLLabel(14,241524,"","","Options:Curr=USD,Mag=Standard,ConvMethod=R")</f>
        <v>#PEND</v>
      </c>
      <c r="F23" s="1" t="str">
        <f>[1]!SNLLabel(14,223393,"","","Options:Curr=USD,Mag=Standard,ConvMethod=R")</f>
        <v>#PEND</v>
      </c>
      <c r="G23" s="1" t="str">
        <f>[1]!SNLLabel(14,223323,"","","Options:Curr=USD,Mag=Standard,ConvMethod=R")</f>
        <v>#PEND</v>
      </c>
      <c r="H23" s="1" t="str">
        <f>[1]!SNLLabel(14,223324,"","","Options:Curr=USD,Mag=Standard,ConvMethod=R")</f>
        <v>#PEND</v>
      </c>
      <c r="I23" s="1" t="str">
        <f>[1]!SNLLabel(14,223337,"","","Options:Curr=USD,Mag=Standard,ConvMethod=R")</f>
        <v>#PEND</v>
      </c>
      <c r="J23" s="1" t="str">
        <f>[1]!SNLLabel(14,223336,"","","Options:Curr=USD,Mag=Standard,ConvMethod=R")</f>
        <v>#PEND</v>
      </c>
      <c r="K23" s="1" t="str">
        <f>[1]!SNLLabel(14,223339,"","","Options:Curr=USD,Mag=Standard,ConvMethod=R")</f>
        <v>#PEND</v>
      </c>
      <c r="L23" s="1" t="str">
        <f>[1]!SNLLabel(14,223338,"","","Options:Curr=USD,Mag=Standard,ConvMethod=R")</f>
        <v>#PEND</v>
      </c>
      <c r="M23" s="1" t="str">
        <f>[1]!SNLLabel(14,223486,"","","Options:Curr=USD,Mag=Standard,ConvMethod=R")</f>
        <v>#PEND</v>
      </c>
      <c r="N23" s="1" t="str">
        <f>[1]!SNLLabel(14,246616,"","","Options:Curr=USD,Mag=Standard,ConvMethod=R")</f>
        <v>#PEND</v>
      </c>
      <c r="O23" s="1" t="str">
        <f>[1]!SNLLabel(14,223472,"","","Options:Curr=USD,Mag=Standard,ConvMethod=R")</f>
        <v>#PEND</v>
      </c>
      <c r="P23" s="1" t="str">
        <f>[1]!SNLLabel(14,223437,"","","Options:Curr=USD,Mag=Standard,ConvMethod=R")</f>
        <v>#PEND</v>
      </c>
      <c r="Q23" s="1" t="str">
        <f>[1]!SNLLabel(14,223478,"","","Options:Curr=USD,Mag=Standard,ConvMethod=R")</f>
        <v>#PEND</v>
      </c>
      <c r="R23" s="1" t="str">
        <f>[1]!SNLLabel(14,223479,"","","Options:Curr=USD,Mag=Standard,ConvMethod=R")</f>
        <v>#PEND</v>
      </c>
      <c r="S23" s="1" t="str">
        <f>[1]!SNLLabel(14,223473,"","","Options:Curr=USD,Mag=Standard,ConvMethod=R")</f>
        <v>#PEND</v>
      </c>
      <c r="T23" s="1" t="str">
        <f>[1]!SNLLabel(14,223475,"","","Options:Curr=USD,Mag=Standard,ConvMethod=R")</f>
        <v>#PEND</v>
      </c>
      <c r="U23" s="1" t="str">
        <f>[1]!SNLLabel(14,223444,"","","Options:Curr=USD,Mag=Standard,ConvMethod=R")</f>
        <v>#PEND</v>
      </c>
      <c r="V23" s="1" t="str">
        <f>[1]!SNLLabel(14,223445,"","","Options:Curr=USD,Mag=Standard,ConvMethod=R")</f>
        <v>#PEND</v>
      </c>
      <c r="W23" s="1" t="str">
        <f>[1]!SNLLabel(14,233270,"","","Options:Curr=USD,Mag=Standard,ConvMethod=R")</f>
        <v>#PEND</v>
      </c>
      <c r="X23" s="1" t="str">
        <f>[1]!SNLLabel(14,233274,"","","Options:Curr=USD,Mag=Standard,ConvMethod=R")</f>
        <v>#PEND</v>
      </c>
    </row>
    <row r="24" spans="1:30" x14ac:dyDescent="0.25">
      <c r="A24" s="2">
        <v>223394</v>
      </c>
      <c r="B24" s="2">
        <v>223366</v>
      </c>
      <c r="C24" s="2">
        <v>241199</v>
      </c>
      <c r="D24" s="2">
        <v>241521</v>
      </c>
      <c r="E24" s="2">
        <v>241524</v>
      </c>
      <c r="F24" s="2">
        <v>223393</v>
      </c>
      <c r="G24" s="2">
        <v>223323</v>
      </c>
      <c r="H24" s="2">
        <v>223324</v>
      </c>
      <c r="I24" s="2">
        <v>223337</v>
      </c>
      <c r="J24" s="2">
        <v>223336</v>
      </c>
      <c r="K24" s="2">
        <v>223339</v>
      </c>
      <c r="L24" s="2">
        <v>223338</v>
      </c>
      <c r="M24" s="2">
        <v>223486</v>
      </c>
      <c r="N24" s="2">
        <v>246616</v>
      </c>
      <c r="O24" s="2">
        <v>223472</v>
      </c>
      <c r="P24" s="2">
        <v>223437</v>
      </c>
      <c r="Q24" s="2">
        <v>223478</v>
      </c>
      <c r="R24" s="2">
        <v>223479</v>
      </c>
      <c r="S24" s="2">
        <v>223473</v>
      </c>
      <c r="T24" s="2">
        <v>223475</v>
      </c>
      <c r="U24" s="2">
        <v>223444</v>
      </c>
      <c r="V24" s="2">
        <v>223445</v>
      </c>
      <c r="W24" s="2">
        <v>233270</v>
      </c>
      <c r="X24" s="2">
        <v>233274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</dc:creator>
  <cp:lastModifiedBy>Pichler, Anton</cp:lastModifiedBy>
  <dcterms:created xsi:type="dcterms:W3CDTF">2015-06-05T18:19:34Z</dcterms:created>
  <dcterms:modified xsi:type="dcterms:W3CDTF">2025-12-20T22:32:06Z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{D11D8719-D02D-4FC5-9FC2-69FF06928387}</vt:lpwstr>
  </property>
</Properties>
</file>